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later" sheetId="1" state="visible" r:id="rId3"/>
    <sheet name="Summary" sheetId="2" state="visible" r:id="rId4"/>
  </sheets>
  <definedNames>
    <definedName function="false" hidden="true" localSheetId="0" name="_xlnm._FilterDatabase" vbProcedure="false">'Build later'!$A$1:$J$24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<sst xmlns="http://schemas.openxmlformats.org/spreadsheetml/2006/main" count="227" uniqueCount="128">
  <si>
    <t xml:space="preserve">#</t>
  </si>
  <si>
    <t xml:space="preserve">Feature</t>
  </si>
  <si>
    <t xml:space="preserve">What it does / why</t>
  </si>
  <si>
    <t xml:space="preserve">Needs</t>
  </si>
  <si>
    <t xml:space="preserve">Size</t>
  </si>
  <si>
    <t xml:space="preserve">Priority</t>
  </si>
  <si>
    <t xml:space="preserve">Depends on</t>
  </si>
  <si>
    <t xml:space="preserve">Status</t>
  </si>
  <si>
    <t xml:space="preserve">Added</t>
  </si>
  <si>
    <t xml:space="preserve">Came up from</t>
  </si>
  <si>
    <t xml:space="preserve">QuickBooks history import</t>
  </si>
  <si>
    <t xml:space="preserve">Owner-pressed one-time import of the last N months of the ledger (default 24, the post-audit reach), one month per Inngest step with throttle backoff and a run row per month so it resumes and re-runs free. Opens cases only inside a dispute cutoff (default 12 months); older short-pays recorded as declines with reason outside_dispute_window so coverage still counts them. Gives 'what you lost over two years, by retailer' on the board — the audit Glimpse sells as its front door.</t>
  </si>
  <si>
    <t xml:space="preserve">No ADR, no migration; two settings</t>
  </si>
  <si>
    <t xml:space="preserve">1 day</t>
  </si>
  <si>
    <t xml:space="preserve">P1</t>
  </si>
  <si>
    <t xml:space="preserve">QBO connection (built)</t>
  </si>
  <si>
    <t xml:space="preserve">Parked</t>
  </si>
  <si>
    <t xml:space="preserve">2026-10-05</t>
  </si>
  <si>
    <t xml:space="preserve">Parth asked how hard 'all historicals' would be</t>
  </si>
  <si>
    <t xml:space="preserve">Watched folder sync (Drive / OneDrive / SharePoint / Dropbox)</t>
  </si>
  <si>
    <t xml:space="preserve">Connect a cloud folder read-only, scoped to one folder; every new file ingested like an upload. The hands-off way to get PoDs, BoLs and invoices in without forwarding emails.</t>
  </si>
  <si>
    <t xml:space="preserve">ADR + migration (new uploads.source); tokens sealed like QuickBooks'</t>
  </si>
  <si>
    <t xml:space="preserve">2 days</t>
  </si>
  <si>
    <t xml:space="preserve">P2</t>
  </si>
  <si>
    <t xml:space="preserve">—</t>
  </si>
  <si>
    <t xml:space="preserve">Where do PoDs/BoLs come from</t>
  </si>
  <si>
    <t xml:space="preserve">Carrier / 3PL portal read recipes (PoD)</t>
  </si>
  <si>
    <t xml:space="preserve">Point the portal-read engine at carrier portals (XPO, Estes, FedEx Freight…) and 3PL portals to pull signed PoDs by PRO/BoL number.</t>
  </si>
  <si>
    <t xml:space="preserve">Credentials per carrier; recipe YAML per portal</t>
  </si>
  <si>
    <t xml:space="preserve">1–2 days per carrier</t>
  </si>
  <si>
    <t xml:space="preserve">Portal read engine (built, fixture-only); Frazil's carriers known</t>
  </si>
  <si>
    <t xml:space="preserve">EDI 856 / 214 / 210 / 812 / 820</t>
  </si>
  <si>
    <t xml:space="preserve">Read ASNs, shipment status, freight invoices, deduction (812) and remittance (820) feeds from an EDI mailbox or VAN. Phase 2.5 in the build order.</t>
  </si>
  <si>
    <t xml:space="preserve">ADR; new uploads.source edi_812 already reserved</t>
  </si>
  <si>
    <t xml:space="preserve">1–2 weeks</t>
  </si>
  <si>
    <t xml:space="preserve">Frazil's EDI provider</t>
  </si>
  <si>
    <t xml:space="preserve">First live portal read recipe for Frazil's top payer</t>
  </si>
  <si>
    <t xml:space="preserve">Read-only Playwright recipe against the payer's real portal (ADR 0057/0062 pattern); captures held by_portal for a person.</t>
  </si>
  <si>
    <t xml:space="preserve">Credential sealed in KMS; recipe YAML</t>
  </si>
  <si>
    <t xml:space="preserve">2–3 days</t>
  </si>
  <si>
    <t xml:space="preserve">Oct 14 call: which payers, which portal, read-only user</t>
  </si>
  <si>
    <t xml:space="preserve">Waiting on call</t>
  </si>
  <si>
    <t xml:space="preserve">2026-10-04</t>
  </si>
  <si>
    <t xml:space="preserve">Pilot to-do</t>
  </si>
  <si>
    <t xml:space="preserve">Filing by recipe on a portal (ADR 0061)</t>
  </si>
  <si>
    <t xml:space="preserve">Submit an approved packet on the payer's portal by a deterministic recipe, behind the approval gate.</t>
  </si>
  <si>
    <t xml:space="preserve">ADR 0061 accepted; that portal's read first</t>
  </si>
  <si>
    <t xml:space="preserve">3 days</t>
  </si>
  <si>
    <t xml:space="preserve">#5</t>
  </si>
  <si>
    <t xml:space="preserve">Waiting on #5</t>
  </si>
  <si>
    <t xml:space="preserve">Seed payer code map from Frazil's own notices</t>
  </si>
  <si>
    <t xml:space="preserve">Load payer code → canonical mappings from the customer's notices, confirmed by them (pnpm seed:payer-codes, dry-run first).</t>
  </si>
  <si>
    <t xml:space="preserve">Migration 0040 applied; PR #144 merged</t>
  </si>
  <si>
    <t xml:space="preserve">0.5 day</t>
  </si>
  <si>
    <t xml:space="preserve">#144 merged</t>
  </si>
  <si>
    <t xml:space="preserve">Waiting on 0040</t>
  </si>
  <si>
    <t xml:space="preserve">Dispute deadlines computed from payer rules</t>
  </si>
  <si>
    <t xml:space="preserve">Fill the 'no deadline' bucket most ledger and remittance cases sit in, from effective-dated payer windows in the playbook data.</t>
  </si>
  <si>
    <t xml:space="preserve">No migration if it lives in playbook YAML → code</t>
  </si>
  <si>
    <t xml:space="preserve">Playbook drafts; Frazil's payers</t>
  </si>
  <si>
    <t xml:space="preserve">Playbook YAML → code map → evidence checklist per payer</t>
  </si>
  <si>
    <t xml:space="preserve">One chain so a new payer is a data file, not code: codes, windows, required documents, channels.</t>
  </si>
  <si>
    <t xml:space="preserve">Draft ADR D (playbooks as versioned data)</t>
  </si>
  <si>
    <t xml:space="preserve">#7, #8</t>
  </si>
  <si>
    <t xml:space="preserve">Second AccountingSource (NetSuite or Xero)</t>
  </si>
  <si>
    <t xml:space="preserve">Only if Frazil is not on QuickBooks Online; otherwise CSV/XLSX export via ADR 0056 covers it.</t>
  </si>
  <si>
    <t xml:space="preserve">After QBO, same port</t>
  </si>
  <si>
    <t xml:space="preserve">1 week</t>
  </si>
  <si>
    <t xml:space="preserve">Conditional</t>
  </si>
  <si>
    <t xml:space="preserve">Oct 14 call: their accounting system</t>
  </si>
  <si>
    <t xml:space="preserve">Trial balance / GL snapshots per sync run</t>
  </si>
  <si>
    <t xml:space="preserve">Keep a snapshot of the books with each sync for month-end tie-out and post-audit defence (ADR 0066 §4, approved as direction).</t>
  </si>
  <si>
    <t xml:space="preserve">Migration (append-only table)</t>
  </si>
  <si>
    <t xml:space="preserve">ADR 0066 (accepted)</t>
  </si>
  <si>
    <t xml:space="preserve">Books PR #145</t>
  </si>
  <si>
    <t xml:space="preserve">Denial and re-file (second-round dispute)</t>
  </si>
  <si>
    <t xml:space="preserve">A lost case is terminal today; allow a re-file with new evidence.</t>
  </si>
  <si>
    <t xml:space="preserve">ADR (state machine edge)</t>
  </si>
  <si>
    <t xml:space="preserve">Daily digest of held documents and approaching deadlines</t>
  </si>
  <si>
    <t xml:space="preserve">Email per workspace each morning: what is held, what is due within 14 days.</t>
  </si>
  <si>
    <t xml:space="preserve">ADR (new outbound side effect)</t>
  </si>
  <si>
    <t xml:space="preserve">Resend already configured</t>
  </si>
  <si>
    <t xml:space="preserve">Cash application 'click to match'</t>
  </si>
  <si>
    <t xml:space="preserve">Match QuickBooks payments to invoices and deductions in one click; the retention hook Glimpse sells. Our Books reconciliation is the read half.</t>
  </si>
  <si>
    <t xml:space="preserve">ADR (writes to QuickBooks)</t>
  </si>
  <si>
    <t xml:space="preserve">QBO write-back (built, off)</t>
  </si>
  <si>
    <t xml:space="preserve">Glimpse teardown</t>
  </si>
  <si>
    <t xml:space="preserve">Contingency billing from recorded outcomes</t>
  </si>
  <si>
    <t xml:space="preserve">Invoice the fee on recovered cash, counting recoveries per surviving duplicate group first (Phase 4).</t>
  </si>
  <si>
    <t xml:space="preserve">ADR; fee maths exists</t>
  </si>
  <si>
    <t xml:space="preserve">First outcomes (30–90 days into pilot)</t>
  </si>
  <si>
    <t xml:space="preserve">Direct-to-storage uploads over 4.5 MB and folder drops</t>
  </si>
  <si>
    <t xml:space="preserve">Vercel caps a request at 4.5 MB; big scans and whole folders need direct-to-storage with a scan queue (ADR 0055, proposed).</t>
  </si>
  <si>
    <t xml:space="preserve">ADR 0055 accepted; migration</t>
  </si>
  <si>
    <t xml:space="preserve">Pilot plan</t>
  </si>
  <si>
    <t xml:space="preserve">Phase 2 model decision and calibration</t>
  </si>
  <si>
    <t xml:space="preserve">Jev/Claude decision providers in shadow, scored against human decisions; needs ≥30 decisions and ≥50 outcomes from the pilots.</t>
  </si>
  <si>
    <t xml:space="preserve">ADRs A–H drafted; Jev access</t>
  </si>
  <si>
    <t xml:space="preserve">Weeks</t>
  </si>
  <si>
    <t xml:space="preserve">Pilot data</t>
  </si>
  <si>
    <t xml:space="preserve">Phase 2 plan</t>
  </si>
  <si>
    <t xml:space="preserve">c-store / distributor reason codes on the decide form</t>
  </si>
  <si>
    <t xml:space="preserve">Slotting, off-invoice/billback, spoils, swell, unsaleables, promo allowance where missing.</t>
  </si>
  <si>
    <t xml:space="preserve">ADR if the taxonomy grows</t>
  </si>
  <si>
    <t xml:space="preserve">P0</t>
  </si>
  <si>
    <t xml:space="preserve">To do before the call</t>
  </si>
  <si>
    <t xml:space="preserve">Email-in failure paths (VERIFY-CHECKLIST §5.6–5.8)</t>
  </si>
  <si>
    <t xml:space="preserve">Forged headers, unaligned sender, oversize mail, wrong secret — exercised before Frazil gets an address.</t>
  </si>
  <si>
    <t xml:space="preserve">Production run</t>
  </si>
  <si>
    <t xml:space="preserve">Dense remittance: step per part (ADR 0053 §6)</t>
  </si>
  <si>
    <t xml:space="preserve">A 190-row distributor remittance reads in 344 s, past the 300 s job limit; run each two-page part as its own step.</t>
  </si>
  <si>
    <t xml:space="preserve">Founder's pick of the three options</t>
  </si>
  <si>
    <t xml:space="preserve">Link an unmatched retailer name from the app</t>
  </si>
  <si>
    <t xml:space="preserve">Today it is pnpm link:retailer on the command line; a Settings → Retailers page to add a debtor alias and re-home the open cases.</t>
  </si>
  <si>
    <t xml:space="preserve">No migration (same write path)</t>
  </si>
  <si>
    <t xml:space="preserve">Board PR #142</t>
  </si>
  <si>
    <t xml:space="preserve">Say on the page when suggestions were withheld</t>
  </si>
  <si>
    <t xml:space="preserve">After PR #148 a document whose candidate read hit the cap gets no suggestion silently; the list should say so.</t>
  </si>
  <si>
    <t xml:space="preserve">No migration</t>
  </si>
  <si>
    <t xml:space="preserve">Audit PR #148</t>
  </si>
  <si>
    <t xml:space="preserve">Delegated read-only portal user as the default credential model</t>
  </si>
  <si>
    <t xml:space="preserve">Ask every payer for a read-only supplier login rather than the customer's password; password hand-off only when nothing else exists.</t>
  </si>
  <si>
    <t xml:space="preserve">Onboarding doc + recipe field</t>
  </si>
  <si>
    <t xml:space="preserve">Build-later backlog — summary</t>
  </si>
  <si>
    <t xml:space="preserve">Items</t>
  </si>
  <si>
    <t xml:space="preserve">Not yet built</t>
  </si>
  <si>
    <t xml:space="preserve">Total</t>
  </si>
  <si>
    <t xml:space="preserve">Legend: P0 = before the Oct 14 Frazil call · P1 = first two weeks of the pilot · P2 = after · Conditional = only if the call says so. Sizes are rough agent-days. 'Needs' says whether an ADR or a migration (founder applies by hand) is required.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</si>
</sst>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EEEEEE"/>
      </patternFill>
    </fill>
    <fill>
      <patternFill patternType="solid">
        <fgColor rgb="FFE8F0FE"/>
        <bgColor rgb="FFEEEEEE"/>
      </patternFill>
    </fill>
    <fill>
      <patternFill patternType="solid">
        <fgColor rgb="FFEEEEEE"/>
        <bgColor rgb="FFE8F0FE"/>
      </patternFill>
    </fill>
    <fill>
      <patternFill patternType="solid">
        <fgColor rgb="FFFDE2E1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8F0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68.6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35.05" hidden="false" customHeight="false" outlineLevel="0" collapsed="false">
      <c r="A3" s="2" t="n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4" t="s">
        <v>23</v>
      </c>
      <c r="G3" s="2" t="s">
        <v>24</v>
      </c>
      <c r="H3" s="2" t="s">
        <v>16</v>
      </c>
      <c r="I3" s="2" t="s">
        <v>17</v>
      </c>
      <c r="J3" s="2" t="s">
        <v>25</v>
      </c>
    </row>
    <row r="4" customFormat="false" ht="23.85" hidden="false" customHeight="false" outlineLevel="0" collapsed="false">
      <c r="A4" s="2" t="n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4" t="s">
        <v>23</v>
      </c>
      <c r="G4" s="2" t="s">
        <v>30</v>
      </c>
      <c r="H4" s="2" t="s">
        <v>16</v>
      </c>
      <c r="I4" s="2" t="s">
        <v>17</v>
      </c>
      <c r="J4" s="2" t="s">
        <v>25</v>
      </c>
    </row>
    <row r="5" customFormat="false" ht="23.85" hidden="false" customHeight="false" outlineLevel="0" collapsed="false">
      <c r="A5" s="2" t="n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4" t="s">
        <v>23</v>
      </c>
      <c r="G5" s="2" t="s">
        <v>35</v>
      </c>
      <c r="H5" s="2" t="s">
        <v>16</v>
      </c>
      <c r="I5" s="2" t="s">
        <v>17</v>
      </c>
      <c r="J5" s="2" t="s">
        <v>25</v>
      </c>
    </row>
    <row r="6" customFormat="false" ht="23.85" hidden="false" customHeight="false" outlineLevel="0" collapsed="false">
      <c r="A6" s="2" t="n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3" t="s">
        <v>14</v>
      </c>
      <c r="G6" s="2" t="s">
        <v>40</v>
      </c>
      <c r="H6" s="2" t="s">
        <v>41</v>
      </c>
      <c r="I6" s="2" t="s">
        <v>42</v>
      </c>
      <c r="J6" s="2" t="s">
        <v>43</v>
      </c>
    </row>
    <row r="7" customFormat="false" ht="23.85" hidden="false" customHeight="false" outlineLevel="0" collapsed="false">
      <c r="A7" s="2" t="n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3" t="s">
        <v>14</v>
      </c>
      <c r="G7" s="2" t="s">
        <v>48</v>
      </c>
      <c r="H7" s="2" t="s">
        <v>49</v>
      </c>
      <c r="I7" s="2" t="s">
        <v>42</v>
      </c>
      <c r="J7" s="2" t="s">
        <v>43</v>
      </c>
    </row>
    <row r="8" customFormat="false" ht="23.85" hidden="false" customHeight="false" outlineLevel="0" collapsed="false">
      <c r="A8" s="2" t="n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3" t="s">
        <v>14</v>
      </c>
      <c r="G8" s="2" t="s">
        <v>54</v>
      </c>
      <c r="H8" s="2" t="s">
        <v>55</v>
      </c>
      <c r="I8" s="2" t="s">
        <v>42</v>
      </c>
      <c r="J8" s="2" t="s">
        <v>43</v>
      </c>
    </row>
    <row r="9" customFormat="false" ht="23.85" hidden="false" customHeight="false" outlineLevel="0" collapsed="false">
      <c r="A9" s="2" t="n">
        <v>8</v>
      </c>
      <c r="B9" s="2" t="s">
        <v>56</v>
      </c>
      <c r="C9" s="2" t="s">
        <v>57</v>
      </c>
      <c r="D9" s="2" t="s">
        <v>58</v>
      </c>
      <c r="E9" s="2" t="s">
        <v>22</v>
      </c>
      <c r="F9" s="3" t="s">
        <v>14</v>
      </c>
      <c r="G9" s="2" t="s">
        <v>59</v>
      </c>
      <c r="H9" s="2" t="s">
        <v>16</v>
      </c>
      <c r="I9" s="2" t="s">
        <v>42</v>
      </c>
      <c r="J9" s="2" t="s">
        <v>43</v>
      </c>
    </row>
    <row r="10" customFormat="false" ht="23.85" hidden="false" customHeight="false" outlineLevel="0" collapsed="false">
      <c r="A10" s="2" t="n">
        <v>9</v>
      </c>
      <c r="B10" s="2" t="s">
        <v>60</v>
      </c>
      <c r="C10" s="2" t="s">
        <v>61</v>
      </c>
      <c r="D10" s="2" t="s">
        <v>62</v>
      </c>
      <c r="E10" s="2" t="s">
        <v>47</v>
      </c>
      <c r="F10" s="3" t="s">
        <v>14</v>
      </c>
      <c r="G10" s="2" t="s">
        <v>63</v>
      </c>
      <c r="H10" s="2" t="s">
        <v>16</v>
      </c>
      <c r="I10" s="2" t="s">
        <v>42</v>
      </c>
      <c r="J10" s="2" t="s">
        <v>43</v>
      </c>
    </row>
    <row r="11" customFormat="false" ht="23.85" hidden="false" customHeight="false" outlineLevel="0" collapsed="false">
      <c r="A11" s="2" t="n">
        <v>10</v>
      </c>
      <c r="B11" s="2" t="s">
        <v>64</v>
      </c>
      <c r="C11" s="2" t="s">
        <v>65</v>
      </c>
      <c r="D11" s="2" t="s">
        <v>66</v>
      </c>
      <c r="E11" s="2" t="s">
        <v>67</v>
      </c>
      <c r="F11" s="5" t="s">
        <v>68</v>
      </c>
      <c r="G11" s="2" t="s">
        <v>69</v>
      </c>
      <c r="H11" s="2" t="s">
        <v>41</v>
      </c>
      <c r="I11" s="2" t="s">
        <v>42</v>
      </c>
      <c r="J11" s="2" t="s">
        <v>43</v>
      </c>
    </row>
    <row r="12" customFormat="false" ht="23.85" hidden="false" customHeight="false" outlineLevel="0" collapsed="false">
      <c r="A12" s="2" t="n">
        <v>11</v>
      </c>
      <c r="B12" s="2" t="s">
        <v>70</v>
      </c>
      <c r="C12" s="2" t="s">
        <v>71</v>
      </c>
      <c r="D12" s="2" t="s">
        <v>72</v>
      </c>
      <c r="E12" s="2" t="s">
        <v>22</v>
      </c>
      <c r="F12" s="4" t="s">
        <v>23</v>
      </c>
      <c r="G12" s="2" t="s">
        <v>73</v>
      </c>
      <c r="H12" s="2" t="s">
        <v>16</v>
      </c>
      <c r="I12" s="2" t="s">
        <v>42</v>
      </c>
      <c r="J12" s="2" t="s">
        <v>74</v>
      </c>
    </row>
    <row r="13" customFormat="false" ht="15" hidden="false" customHeight="false" outlineLevel="0" collapsed="false">
      <c r="A13" s="2" t="n">
        <v>12</v>
      </c>
      <c r="B13" s="2" t="s">
        <v>75</v>
      </c>
      <c r="C13" s="2" t="s">
        <v>76</v>
      </c>
      <c r="D13" s="2" t="s">
        <v>77</v>
      </c>
      <c r="E13" s="2" t="s">
        <v>22</v>
      </c>
      <c r="F13" s="4" t="s">
        <v>23</v>
      </c>
      <c r="G13" s="2" t="s">
        <v>24</v>
      </c>
      <c r="H13" s="2" t="s">
        <v>16</v>
      </c>
      <c r="I13" s="2" t="s">
        <v>42</v>
      </c>
      <c r="J13" s="2" t="s">
        <v>43</v>
      </c>
    </row>
    <row r="14" customFormat="false" ht="23.85" hidden="false" customHeight="false" outlineLevel="0" collapsed="false">
      <c r="A14" s="2" t="n">
        <v>13</v>
      </c>
      <c r="B14" s="2" t="s">
        <v>78</v>
      </c>
      <c r="C14" s="2" t="s">
        <v>79</v>
      </c>
      <c r="D14" s="2" t="s">
        <v>80</v>
      </c>
      <c r="E14" s="2" t="s">
        <v>13</v>
      </c>
      <c r="F14" s="4" t="s">
        <v>23</v>
      </c>
      <c r="G14" s="2" t="s">
        <v>81</v>
      </c>
      <c r="H14" s="2" t="s">
        <v>16</v>
      </c>
      <c r="I14" s="2" t="s">
        <v>42</v>
      </c>
      <c r="J14" s="2" t="s">
        <v>43</v>
      </c>
    </row>
    <row r="15" customFormat="false" ht="23.85" hidden="false" customHeight="false" outlineLevel="0" collapsed="false">
      <c r="A15" s="2" t="n">
        <v>14</v>
      </c>
      <c r="B15" s="2" t="s">
        <v>82</v>
      </c>
      <c r="C15" s="2" t="s">
        <v>83</v>
      </c>
      <c r="D15" s="2" t="s">
        <v>84</v>
      </c>
      <c r="E15" s="2" t="s">
        <v>67</v>
      </c>
      <c r="F15" s="4" t="s">
        <v>23</v>
      </c>
      <c r="G15" s="2" t="s">
        <v>85</v>
      </c>
      <c r="H15" s="2" t="s">
        <v>16</v>
      </c>
      <c r="I15" s="2" t="s">
        <v>42</v>
      </c>
      <c r="J15" s="2" t="s">
        <v>86</v>
      </c>
    </row>
    <row r="16" customFormat="false" ht="23.85" hidden="false" customHeight="false" outlineLevel="0" collapsed="false">
      <c r="A16" s="2" t="n">
        <v>15</v>
      </c>
      <c r="B16" s="2" t="s">
        <v>87</v>
      </c>
      <c r="C16" s="2" t="s">
        <v>88</v>
      </c>
      <c r="D16" s="2" t="s">
        <v>89</v>
      </c>
      <c r="E16" s="2" t="s">
        <v>47</v>
      </c>
      <c r="F16" s="4" t="s">
        <v>23</v>
      </c>
      <c r="G16" s="2" t="s">
        <v>90</v>
      </c>
      <c r="H16" s="2" t="s">
        <v>16</v>
      </c>
      <c r="I16" s="2" t="s">
        <v>42</v>
      </c>
      <c r="J16" s="2" t="s">
        <v>43</v>
      </c>
    </row>
    <row r="17" customFormat="false" ht="23.85" hidden="false" customHeight="false" outlineLevel="0" collapsed="false">
      <c r="A17" s="2" t="n">
        <v>16</v>
      </c>
      <c r="B17" s="2" t="s">
        <v>91</v>
      </c>
      <c r="C17" s="2" t="s">
        <v>92</v>
      </c>
      <c r="D17" s="2" t="s">
        <v>93</v>
      </c>
      <c r="E17" s="2" t="s">
        <v>47</v>
      </c>
      <c r="F17" s="4" t="s">
        <v>23</v>
      </c>
      <c r="G17" s="2" t="s">
        <v>24</v>
      </c>
      <c r="H17" s="2" t="s">
        <v>16</v>
      </c>
      <c r="I17" s="2" t="s">
        <v>42</v>
      </c>
      <c r="J17" s="2" t="s">
        <v>94</v>
      </c>
    </row>
    <row r="18" customFormat="false" ht="23.85" hidden="false" customHeight="false" outlineLevel="0" collapsed="false">
      <c r="A18" s="2" t="n">
        <v>17</v>
      </c>
      <c r="B18" s="2" t="s">
        <v>95</v>
      </c>
      <c r="C18" s="2" t="s">
        <v>96</v>
      </c>
      <c r="D18" s="2" t="s">
        <v>97</v>
      </c>
      <c r="E18" s="2" t="s">
        <v>98</v>
      </c>
      <c r="F18" s="4" t="s">
        <v>23</v>
      </c>
      <c r="G18" s="2" t="s">
        <v>99</v>
      </c>
      <c r="H18" s="2" t="s">
        <v>16</v>
      </c>
      <c r="I18" s="2" t="s">
        <v>42</v>
      </c>
      <c r="J18" s="2" t="s">
        <v>100</v>
      </c>
    </row>
    <row r="19" customFormat="false" ht="23.85" hidden="false" customHeight="false" outlineLevel="0" collapsed="false">
      <c r="A19" s="2" t="n">
        <v>18</v>
      </c>
      <c r="B19" s="2" t="s">
        <v>101</v>
      </c>
      <c r="C19" s="2" t="s">
        <v>102</v>
      </c>
      <c r="D19" s="2" t="s">
        <v>103</v>
      </c>
      <c r="E19" s="2" t="s">
        <v>53</v>
      </c>
      <c r="F19" s="6" t="s">
        <v>104</v>
      </c>
      <c r="G19" s="2" t="s">
        <v>24</v>
      </c>
      <c r="H19" s="2" t="s">
        <v>105</v>
      </c>
      <c r="I19" s="2" t="s">
        <v>42</v>
      </c>
      <c r="J19" s="2" t="s">
        <v>43</v>
      </c>
    </row>
    <row r="20" customFormat="false" ht="23.85" hidden="false" customHeight="false" outlineLevel="0" collapsed="false">
      <c r="A20" s="2" t="n">
        <v>19</v>
      </c>
      <c r="B20" s="2" t="s">
        <v>106</v>
      </c>
      <c r="C20" s="2" t="s">
        <v>107</v>
      </c>
      <c r="D20" s="2" t="s">
        <v>108</v>
      </c>
      <c r="E20" s="2" t="s">
        <v>53</v>
      </c>
      <c r="F20" s="6" t="s">
        <v>104</v>
      </c>
      <c r="G20" s="2" t="s">
        <v>24</v>
      </c>
      <c r="H20" s="2" t="s">
        <v>105</v>
      </c>
      <c r="I20" s="2" t="s">
        <v>42</v>
      </c>
      <c r="J20" s="2" t="s">
        <v>43</v>
      </c>
    </row>
    <row r="21" customFormat="false" ht="23.85" hidden="false" customHeight="false" outlineLevel="0" collapsed="false">
      <c r="A21" s="2" t="n">
        <v>20</v>
      </c>
      <c r="B21" s="2" t="s">
        <v>109</v>
      </c>
      <c r="C21" s="2" t="s">
        <v>110</v>
      </c>
      <c r="D21" s="2" t="s">
        <v>111</v>
      </c>
      <c r="E21" s="2" t="s">
        <v>13</v>
      </c>
      <c r="F21" s="6" t="s">
        <v>104</v>
      </c>
      <c r="G21" s="2" t="s">
        <v>24</v>
      </c>
      <c r="H21" s="2" t="s">
        <v>105</v>
      </c>
      <c r="I21" s="2" t="s">
        <v>42</v>
      </c>
      <c r="J21" s="2" t="s">
        <v>43</v>
      </c>
    </row>
    <row r="22" customFormat="false" ht="23.85" hidden="false" customHeight="false" outlineLevel="0" collapsed="false">
      <c r="A22" s="2" t="n">
        <v>21</v>
      </c>
      <c r="B22" s="2" t="s">
        <v>112</v>
      </c>
      <c r="C22" s="2" t="s">
        <v>113</v>
      </c>
      <c r="D22" s="2" t="s">
        <v>114</v>
      </c>
      <c r="E22" s="2" t="s">
        <v>13</v>
      </c>
      <c r="F22" s="3" t="s">
        <v>14</v>
      </c>
      <c r="G22" s="2" t="s">
        <v>24</v>
      </c>
      <c r="H22" s="2" t="s">
        <v>16</v>
      </c>
      <c r="I22" s="2" t="s">
        <v>42</v>
      </c>
      <c r="J22" s="2" t="s">
        <v>115</v>
      </c>
    </row>
    <row r="23" customFormat="false" ht="23.85" hidden="false" customHeight="false" outlineLevel="0" collapsed="false">
      <c r="A23" s="2" t="n">
        <v>22</v>
      </c>
      <c r="B23" s="2" t="s">
        <v>116</v>
      </c>
      <c r="C23" s="2" t="s">
        <v>117</v>
      </c>
      <c r="D23" s="2" t="s">
        <v>118</v>
      </c>
      <c r="E23" s="2" t="s">
        <v>53</v>
      </c>
      <c r="F23" s="4" t="s">
        <v>23</v>
      </c>
      <c r="G23" s="2" t="s">
        <v>24</v>
      </c>
      <c r="H23" s="2" t="s">
        <v>16</v>
      </c>
      <c r="I23" s="2" t="s">
        <v>42</v>
      </c>
      <c r="J23" s="2" t="s">
        <v>119</v>
      </c>
    </row>
    <row r="24" customFormat="false" ht="23.85" hidden="false" customHeight="false" outlineLevel="0" collapsed="false">
      <c r="A24" s="2" t="n">
        <v>23</v>
      </c>
      <c r="B24" s="2" t="s">
        <v>120</v>
      </c>
      <c r="C24" s="2" t="s">
        <v>121</v>
      </c>
      <c r="D24" s="2" t="s">
        <v>122</v>
      </c>
      <c r="E24" s="2" t="s">
        <v>53</v>
      </c>
      <c r="F24" s="4" t="s">
        <v>23</v>
      </c>
      <c r="G24" s="2" t="s">
        <v>24</v>
      </c>
      <c r="H24" s="2" t="s">
        <v>16</v>
      </c>
      <c r="I24" s="2" t="s">
        <v>42</v>
      </c>
      <c r="J24" s="2" t="s">
        <v>86</v>
      </c>
    </row>
  </sheetData>
  <autoFilter ref="A1:J24"/>
  <dataValidations count="2">
    <dataValidation allowBlank="true" errorStyle="stop" operator="between" showDropDown="false" showErrorMessage="false" showInputMessage="false" sqref="F2:F224" type="list">
      <formula1>"P0,P1,P2,Conditional"</formula1>
      <formula2>0</formula2>
    </dataValidation>
    <dataValidation allowBlank="true" errorStyle="stop" operator="between" showDropDown="false" showErrorMessage="false" showInputMessage="false" sqref="H2:H224" type="list">
      <formula1>"Parked,To do before the call,Waiting on call,Waiting on 0040,Waiting on #5,In progress,Built,Dropped"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7" t="s">
        <v>123</v>
      </c>
    </row>
    <row r="3" customFormat="false" ht="15" hidden="false" customHeight="false" outlineLevel="0" collapsed="false">
      <c r="A3" s="8" t="s">
        <v>5</v>
      </c>
      <c r="B3" s="8" t="s">
        <v>124</v>
      </c>
      <c r="C3" s="8" t="s">
        <v>125</v>
      </c>
    </row>
    <row r="4" customFormat="false" ht="15" hidden="false" customHeight="false" outlineLevel="0" collapsed="false">
      <c r="A4" s="9" t="s">
        <v>104</v>
      </c>
      <c r="B4" s="9" t="n">
        <f aca="false">COUNTIF('Build later'!$F$2:$F$500,A4)</f>
        <v>3</v>
      </c>
      <c r="C4" s="9" t="n">
        <f aca="false">COUNTIFS('Build later'!$F$2:$F$500,A4,'Build later'!$H$2:$H$500,"&lt;&gt;Built")</f>
        <v>3</v>
      </c>
    </row>
    <row r="5" customFormat="false" ht="15" hidden="false" customHeight="false" outlineLevel="0" collapsed="false">
      <c r="A5" s="9" t="s">
        <v>14</v>
      </c>
      <c r="B5" s="9" t="n">
        <f aca="false">COUNTIF('Build later'!$F$2:$F$500,A5)</f>
        <v>7</v>
      </c>
      <c r="C5" s="9" t="n">
        <f aca="false">COUNTIFS('Build later'!$F$2:$F$500,A5,'Build later'!$H$2:$H$500,"&lt;&gt;Built")</f>
        <v>7</v>
      </c>
    </row>
    <row r="6" customFormat="false" ht="15" hidden="false" customHeight="false" outlineLevel="0" collapsed="false">
      <c r="A6" s="9" t="s">
        <v>23</v>
      </c>
      <c r="B6" s="9" t="n">
        <f aca="false">COUNTIF('Build later'!$F$2:$F$500,A6)</f>
        <v>12</v>
      </c>
      <c r="C6" s="9" t="n">
        <f aca="false">COUNTIFS('Build later'!$F$2:$F$500,A6,'Build later'!$H$2:$H$500,"&lt;&gt;Built")</f>
        <v>12</v>
      </c>
    </row>
    <row r="7" customFormat="false" ht="15" hidden="false" customHeight="false" outlineLevel="0" collapsed="false">
      <c r="A7" s="9" t="s">
        <v>68</v>
      </c>
      <c r="B7" s="9" t="n">
        <f aca="false">COUNTIF('Build later'!$F$2:$F$500,A7)</f>
        <v>1</v>
      </c>
      <c r="C7" s="9" t="n">
        <f aca="false">COUNTIFS('Build later'!$F$2:$F$500,A7,'Build later'!$H$2:$H$500,"&lt;&gt;Built")</f>
        <v>1</v>
      </c>
    </row>
    <row r="8" customFormat="false" ht="15" hidden="false" customHeight="false" outlineLevel="0" collapsed="false">
      <c r="A8" s="9"/>
      <c r="B8" s="9"/>
      <c r="C8" s="9"/>
    </row>
    <row r="9" customFormat="false" ht="15" hidden="false" customHeight="false" outlineLevel="0" collapsed="false">
      <c r="A9" s="10" t="s">
        <v>126</v>
      </c>
      <c r="B9" s="9" t="n">
        <f aca="false">SUM(B4:B8)</f>
        <v>23</v>
      </c>
      <c r="C9" s="9" t="n">
        <f aca="false">SUM(C4:C8)</f>
        <v>23</v>
      </c>
    </row>
    <row r="11" customFormat="false" ht="15" hidden="false" customHeight="true" outlineLevel="0" collapsed="false">
      <c r="A11" s="11" t="s">
        <v>127</v>
      </c>
      <c r="B11" s="11"/>
      <c r="C11" s="11"/>
      <c r="D11" s="11"/>
      <c r="E11" s="11"/>
      <c r="F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</row>
  </sheetData>
  <mergeCells count="1">
    <mergeCell ref="A11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2026-10-05T18:38:34Z</dcterms:created>
  <dc:creator>openpyxl</dc:creator>
  <dc:description/>
  <dc:language>en-US</dc:language>
  <cp:lastModifiedBy/>
  <dcterms:modified xsi:type="dcterms:W3CDTF">2026-10-05T18:38:34Z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